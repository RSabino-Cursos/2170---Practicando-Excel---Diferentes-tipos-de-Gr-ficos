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fficeresolve.sharepoint.com/sites/ContedosAlura/Documentos Compartilhados/10 - Escola - Alura Latam/Alura Latam Cursos/Cursos de Excel &amp; VBA/Digital Skills Excel/Cursos Praticando/Practicando Excel 1_ Diferentes tipos de gráficos/"/>
    </mc:Choice>
  </mc:AlternateContent>
  <xr:revisionPtr revIDLastSave="2" documentId="13_ncr:1_{BF260363-327E-4ED4-BB0B-672F93B1B64E}" xr6:coauthVersionLast="47" xr6:coauthVersionMax="47" xr10:uidLastSave="{7746BE96-CC94-45BA-91EA-11464E9DF776}"/>
  <bookViews>
    <workbookView xWindow="28680" yWindow="-120" windowWidth="20640" windowHeight="11040" tabRatio="870" xr2:uid="{00000000-000D-0000-FFFF-FFFF00000000}"/>
  </bookViews>
  <sheets>
    <sheet name="Ventas Meteora" sheetId="16" r:id="rId1"/>
    <sheet name="Gráfico1" sheetId="23" r:id="rId2"/>
    <sheet name="Gráfico2" sheetId="24" r:id="rId3"/>
    <sheet name="Gráfico3" sheetId="2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6" l="1"/>
  <c r="F5" i="16"/>
  <c r="F6" i="16"/>
  <c r="F7" i="16"/>
  <c r="F8" i="16"/>
  <c r="F9" i="16"/>
  <c r="F10" i="16"/>
  <c r="F11" i="16"/>
  <c r="F12" i="16"/>
  <c r="F13" i="16"/>
  <c r="F3" i="16"/>
  <c r="B14" i="16" l="1"/>
  <c r="C14" i="16"/>
</calcChain>
</file>

<file path=xl/sharedStrings.xml><?xml version="1.0" encoding="utf-8"?>
<sst xmlns="http://schemas.openxmlformats.org/spreadsheetml/2006/main" count="19" uniqueCount="19">
  <si>
    <t>Mes</t>
  </si>
  <si>
    <t>Total de Ventas</t>
  </si>
  <si>
    <t>Cantidad</t>
  </si>
  <si>
    <t>Total Anual</t>
  </si>
  <si>
    <t>Ticket Promedio</t>
  </si>
  <si>
    <t>Variación Mensual (%)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</si>
  <si>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</si>
  <si>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</si>
  <si>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</si>
  <si>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</si>
  <si>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</si>
  <si>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</si>
  <si>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</si>
  <si>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</si>
  <si>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</si>
  <si>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</si>
  <si>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</si>
  <si>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</si>
  <si>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Beneficio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</si>
</sst>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2C0A]\ #,##0"/>
    <numFmt numFmtId="165" formatCode="[$$-2C0A]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0" fontId="0" fillId="2" borderId="0" xfId="0" applyFill="1"/>
    <xf numFmtId="0" fontId="1" fillId="2" borderId="0" xfId="0" applyFont="1" applyFill="1"/>
    <xf numFmtId="164" fontId="1" fillId="2" borderId="0" xfId="0" applyNumberFormat="1" applyFont="1" applyFill="1"/>
    <xf numFmtId="2" fontId="1" fillId="2" borderId="0" xfId="0" applyNumberFormat="1" applyFont="1" applyFill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/>
    <xf numFmtId="2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5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AFF01"/>
      <color rgb="FFCCCCCC"/>
      <color rgb="FFF07480"/>
      <color rgb="FFEE6471"/>
      <color rgb="FF935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chartsheet" Target="chartsheets/sheet3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Cantidades mensuales vendidas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'Ventas Meteora'!$B$1</c:f>
              <c:strCache>
                <c:ptCount val="1"/>
                <c:pt idx="0">
                  <c:v>Cantidad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'Ventas Meteora'!$A$2:$A$13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'Ventas Meteora'!$B$2:$B$13</c:f>
              <c:numCache>
                <c:formatCode>0</c:formatCode>
                <c:ptCount val="12"/>
                <c:pt idx="0">
                  <c:v>150</c:v>
                </c:pt>
                <c:pt idx="1">
                  <c:v>175</c:v>
                </c:pt>
                <c:pt idx="2">
                  <c:v>204</c:v>
                </c:pt>
                <c:pt idx="3">
                  <c:v>233</c:v>
                </c:pt>
                <c:pt idx="4">
                  <c:v>290</c:v>
                </c:pt>
                <c:pt idx="5">
                  <c:v>250</c:v>
                </c:pt>
                <c:pt idx="6">
                  <c:v>305</c:v>
                </c:pt>
                <c:pt idx="7">
                  <c:v>300</c:v>
                </c:pt>
                <c:pt idx="8">
                  <c:v>375</c:v>
                </c:pt>
                <c:pt idx="9">
                  <c:v>400</c:v>
                </c:pt>
                <c:pt idx="10">
                  <c:v>415</c:v>
                </c:pt>
                <c:pt idx="11">
                  <c:v>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C-42E1-B9F4-477768DF6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771460464"/>
        <c:axId val="1771458064"/>
      </c:barChart>
      <c:catAx>
        <c:axId val="17714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771458064"/>
        <c:crosses val="autoZero"/>
        <c:auto val="1"/>
        <c:lblAlgn val="ctr"/>
        <c:lblOffset val="100"/>
        <c:noMultiLvlLbl val="0"/>
      </c:catAx>
      <c:valAx>
        <c:axId val="177145806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77146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419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'Ventas Meteora'!$C$1</c:f>
              <c:strCache>
                <c:ptCount val="1"/>
                <c:pt idx="0">
                  <c:v>Total de 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'Ventas Meteora'!$A$2:$A$13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'Ventas Meteora'!$C$2:$C$13</c:f>
              <c:numCache>
                <c:formatCode>[$$-2C0A]\ #,##0</c:formatCode>
                <c:ptCount val="12"/>
                <c:pt idx="0">
                  <c:v>15737.72</c:v>
                </c:pt>
                <c:pt idx="1">
                  <c:v>18630.84</c:v>
                </c:pt>
                <c:pt idx="2">
                  <c:v>22742.880000000001</c:v>
                </c:pt>
                <c:pt idx="3">
                  <c:v>25126.74</c:v>
                </c:pt>
                <c:pt idx="4">
                  <c:v>34448.879999999997</c:v>
                </c:pt>
                <c:pt idx="5">
                  <c:v>30825.3</c:v>
                </c:pt>
                <c:pt idx="6">
                  <c:v>36435.620000000003</c:v>
                </c:pt>
                <c:pt idx="7">
                  <c:v>34890.080000000002</c:v>
                </c:pt>
                <c:pt idx="8">
                  <c:v>44589.55</c:v>
                </c:pt>
                <c:pt idx="9">
                  <c:v>49550</c:v>
                </c:pt>
                <c:pt idx="10">
                  <c:v>53714.8</c:v>
                </c:pt>
                <c:pt idx="11">
                  <c:v>59608.77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3-4455-927B-1A9869D7C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591904"/>
        <c:axId val="230589024"/>
      </c:barChart>
      <c:catAx>
        <c:axId val="23059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30589024"/>
        <c:crosses val="autoZero"/>
        <c:auto val="1"/>
        <c:lblAlgn val="ctr"/>
        <c:lblOffset val="100"/>
        <c:noMultiLvlLbl val="0"/>
      </c:catAx>
      <c:valAx>
        <c:axId val="23058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2C0A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3059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'Ventas Meteora'!$C$1</c:f>
              <c:strCache>
                <c:ptCount val="1"/>
                <c:pt idx="0">
                  <c:v>Total de Ventas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'Ventas Meteora'!$A$2:$A$13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'Ventas Meteora'!$C$2:$C$13</c:f>
              <c:numCache>
                <c:formatCode>[$$-2C0A]\ #,##0</c:formatCode>
                <c:ptCount val="12"/>
                <c:pt idx="0">
                  <c:v>15737.72</c:v>
                </c:pt>
                <c:pt idx="1">
                  <c:v>18630.84</c:v>
                </c:pt>
                <c:pt idx="2">
                  <c:v>22742.880000000001</c:v>
                </c:pt>
                <c:pt idx="3">
                  <c:v>25126.74</c:v>
                </c:pt>
                <c:pt idx="4">
                  <c:v>34448.879999999997</c:v>
                </c:pt>
                <c:pt idx="5">
                  <c:v>30825.3</c:v>
                </c:pt>
                <c:pt idx="6">
                  <c:v>36435.620000000003</c:v>
                </c:pt>
                <c:pt idx="7">
                  <c:v>34890.080000000002</c:v>
                </c:pt>
                <c:pt idx="8">
                  <c:v>44589.55</c:v>
                </c:pt>
                <c:pt idx="9">
                  <c:v>49550</c:v>
                </c:pt>
                <c:pt idx="10">
                  <c:v>53714.8</c:v>
                </c:pt>
                <c:pt idx="11">
                  <c:v>59608.77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D7-4CA1-8D1C-37AE666E1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1800544"/>
        <c:axId val="231801024"/>
      </c:barChart>
      <c:lineChart>
        <c:grouping val="stacked"/>
        <c:varyColors val="0"/>
        <c:ser>
          <c:idx val="0"/>
          <c:order val="0"/>
          <c:tx>
            <c:strRef>
              <c:f>'Ventas Meteora'!$B$1</c:f>
              <c:strCache>
                <c:ptCount val="1"/>
                <c:pt idx="0">
                  <c:v>Cantidad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'Ventas Meteora'!$A$2:$A$13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'Ventas Meteora'!$B$2:$B$13</c:f>
              <c:numCache>
                <c:formatCode>0</c:formatCode>
                <c:ptCount val="12"/>
                <c:pt idx="0">
                  <c:v>150</c:v>
                </c:pt>
                <c:pt idx="1">
                  <c:v>175</c:v>
                </c:pt>
                <c:pt idx="2">
                  <c:v>204</c:v>
                </c:pt>
                <c:pt idx="3">
                  <c:v>233</c:v>
                </c:pt>
                <c:pt idx="4">
                  <c:v>290</c:v>
                </c:pt>
                <c:pt idx="5">
                  <c:v>250</c:v>
                </c:pt>
                <c:pt idx="6">
                  <c:v>305</c:v>
                </c:pt>
                <c:pt idx="7">
                  <c:v>300</c:v>
                </c:pt>
                <c:pt idx="8">
                  <c:v>375</c:v>
                </c:pt>
                <c:pt idx="9">
                  <c:v>400</c:v>
                </c:pt>
                <c:pt idx="10">
                  <c:v>415</c:v>
                </c:pt>
                <c:pt idx="11">
                  <c:v>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D7-4CA1-8D1C-37AE666E1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457264"/>
        <c:axId val="191461104"/>
      </c:lineChart>
      <c:catAx>
        <c:axId val="23180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31801024"/>
        <c:crosses val="autoZero"/>
        <c:auto val="1"/>
        <c:lblAlgn val="ctr"/>
        <c:lblOffset val="100"/>
        <c:noMultiLvlLbl val="0"/>
      </c:catAx>
      <c:valAx>
        <c:axId val="23180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2C0A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31800544"/>
        <c:crosses val="autoZero"/>
        <c:crossBetween val="between"/>
      </c:valAx>
      <c:valAx>
        <c:axId val="19146110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91457264"/>
        <c:crosses val="max"/>
        <c:crossBetween val="between"/>
      </c:valAx>
      <c:catAx>
        <c:axId val="191457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461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DBC7F23-AF55-48D4-B985-FF0B959FD085}">
  <sheetPr/>
  <sheetViews>
    <sheetView zoomScale="7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2EDC0C2-0024-4E32-9B3A-87D76CC00C82}">
  <sheetPr/>
  <sheetViews>
    <sheetView zoomScale="7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884D99C-376D-41DC-9CFB-C67C01D2A708}">
  <sheetPr/>
  <sheetViews>
    <sheetView zoomScale="5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845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F145C5-5695-7BB3-2ADB-0369DBA3683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845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F61A98-4F17-FC5D-32CF-08ADD543CE0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054052" cy="748862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28C1E2-4F6A-C61F-B5CF-6F73A90DB77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EE02801-A5D1-40CA-B588-EAFBD0CAFE2B}">
  <we:reference id="wa200003696" version="1.3.0.0" store="pt-BR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E00F9-F438-481B-9FD7-27246604793C}">
  <dimension ref="A1:G14"/>
  <sheetViews>
    <sheetView tabSelected="1" zoomScale="130" zoomScaleNormal="130" workbookViewId="0">
      <selection sqref="A1:C13"/>
    </sheetView>
  </sheetViews>
  <sheetFormatPr defaultColWidth="9.109375" defaultRowHeight="14.4" x14ac:dyDescent="0.3"/>
  <cols>
    <col min="1" max="1" width="10.6640625" bestFit="1" customWidth="1"/>
    <col min="2" max="2" width="14.6640625" style="8" customWidth="1"/>
    <col min="3" max="3" width="14.44140625" bestFit="1" customWidth="1"/>
    <col min="4" max="4" width="12.5546875" customWidth="1"/>
    <col min="5" max="5" width="17.33203125" customWidth="1"/>
    <col min="6" max="6" width="23.33203125" customWidth="1"/>
    <col min="7" max="7" width="13.109375" customWidth="1"/>
  </cols>
  <sheetData>
    <row r="1" spans="1:7" x14ac:dyDescent="0.3">
      <c r="A1" s="1" t="s">
        <v>0</v>
      </c>
      <c r="B1" s="7" t="s">
        <v>2</v>
      </c>
      <c r="C1" s="1" t="s">
        <v>1</v>
      </c>
      <c r="D1" s="1" t="s">
        <v>18</v>
      </c>
      <c r="E1" s="1" t="s">
        <v>4</v>
      </c>
      <c r="F1" s="13" t="s">
        <v>5</v>
      </c>
      <c r="G1" s="12"/>
    </row>
    <row r="2" spans="1:7" x14ac:dyDescent="0.3">
      <c r="A2" s="11" t="s">
        <v>6</v>
      </c>
      <c r="B2" s="9">
        <v>150</v>
      </c>
      <c r="C2" s="3">
        <v>15737.72</v>
      </c>
      <c r="D2" s="2">
        <v>0.23</v>
      </c>
      <c r="E2" s="15">
        <v>104.92</v>
      </c>
      <c r="F2" s="2"/>
      <c r="G2" s="2"/>
    </row>
    <row r="3" spans="1:7" x14ac:dyDescent="0.3">
      <c r="A3" s="11" t="s">
        <v>7</v>
      </c>
      <c r="B3" s="9">
        <v>175</v>
      </c>
      <c r="C3" s="3">
        <v>18630.84</v>
      </c>
      <c r="D3" s="2">
        <v>0.26</v>
      </c>
      <c r="E3" s="15">
        <v>106.4628571428571</v>
      </c>
      <c r="F3" s="14">
        <f>(C3-C2)/C2*100</f>
        <v>18.383349049290501</v>
      </c>
      <c r="G3" s="2"/>
    </row>
    <row r="4" spans="1:7" x14ac:dyDescent="0.3">
      <c r="A4" s="11" t="s">
        <v>8</v>
      </c>
      <c r="B4" s="9">
        <v>204</v>
      </c>
      <c r="C4" s="3">
        <v>22742.880000000001</v>
      </c>
      <c r="D4" s="2">
        <v>0.3</v>
      </c>
      <c r="E4" s="15">
        <v>111.4852941176471</v>
      </c>
      <c r="F4" s="14">
        <f t="shared" ref="F4:F13" si="0">(C4-C3)/C3*100</f>
        <v>22.071146550558112</v>
      </c>
      <c r="G4" s="2"/>
    </row>
    <row r="5" spans="1:7" x14ac:dyDescent="0.3">
      <c r="A5" s="11" t="s">
        <v>9</v>
      </c>
      <c r="B5" s="9">
        <v>233</v>
      </c>
      <c r="C5" s="3">
        <v>25126.74</v>
      </c>
      <c r="D5" s="2">
        <v>0.34</v>
      </c>
      <c r="E5" s="15">
        <v>107.8412017167382</v>
      </c>
      <c r="F5" s="14">
        <f t="shared" si="0"/>
        <v>10.481785947953822</v>
      </c>
      <c r="G5" s="2"/>
    </row>
    <row r="6" spans="1:7" x14ac:dyDescent="0.3">
      <c r="A6" s="11" t="s">
        <v>10</v>
      </c>
      <c r="B6" s="9">
        <v>290</v>
      </c>
      <c r="C6" s="3">
        <v>34448.879999999997</v>
      </c>
      <c r="D6" s="2">
        <v>0.35</v>
      </c>
      <c r="E6" s="15">
        <v>137.79599999999999</v>
      </c>
      <c r="F6" s="14">
        <f t="shared" si="0"/>
        <v>37.100475429761268</v>
      </c>
      <c r="G6" s="2"/>
    </row>
    <row r="7" spans="1:7" x14ac:dyDescent="0.3">
      <c r="A7" s="11" t="s">
        <v>11</v>
      </c>
      <c r="B7" s="9">
        <v>250</v>
      </c>
      <c r="C7" s="3">
        <v>30825.3</v>
      </c>
      <c r="D7" s="2">
        <v>0.36</v>
      </c>
      <c r="E7" s="15">
        <v>106.2931034482759</v>
      </c>
      <c r="F7" s="14">
        <f t="shared" si="0"/>
        <v>-10.518716428516685</v>
      </c>
      <c r="G7" s="2"/>
    </row>
    <row r="8" spans="1:7" x14ac:dyDescent="0.3">
      <c r="A8" s="11" t="s">
        <v>12</v>
      </c>
      <c r="B8" s="9">
        <v>305</v>
      </c>
      <c r="C8" s="3">
        <v>36435.620000000003</v>
      </c>
      <c r="D8" s="2">
        <v>0.37</v>
      </c>
      <c r="E8" s="15">
        <v>122.74098360655741</v>
      </c>
      <c r="F8" s="14">
        <f t="shared" si="0"/>
        <v>18.200374367808273</v>
      </c>
      <c r="G8" s="2"/>
    </row>
    <row r="9" spans="1:7" x14ac:dyDescent="0.3">
      <c r="A9" s="11" t="s">
        <v>13</v>
      </c>
      <c r="B9" s="9">
        <v>300</v>
      </c>
      <c r="C9" s="3">
        <v>34890.080000000002</v>
      </c>
      <c r="D9" s="2">
        <v>0.38</v>
      </c>
      <c r="E9" s="15">
        <v>95.99666666666667</v>
      </c>
      <c r="F9" s="14">
        <f t="shared" si="0"/>
        <v>-4.2418380694496234</v>
      </c>
      <c r="G9" s="2"/>
    </row>
    <row r="10" spans="1:7" x14ac:dyDescent="0.3">
      <c r="A10" s="11" t="s">
        <v>14</v>
      </c>
      <c r="B10" s="9">
        <v>375</v>
      </c>
      <c r="C10" s="3">
        <v>44589.55</v>
      </c>
      <c r="D10" s="2">
        <v>0.4</v>
      </c>
      <c r="E10" s="15">
        <v>118.90666666666669</v>
      </c>
      <c r="F10" s="14">
        <f t="shared" si="0"/>
        <v>27.800079564162651</v>
      </c>
      <c r="G10" s="2"/>
    </row>
    <row r="11" spans="1:7" x14ac:dyDescent="0.3">
      <c r="A11" s="11" t="s">
        <v>15</v>
      </c>
      <c r="B11" s="9">
        <v>400</v>
      </c>
      <c r="C11" s="3">
        <v>49550</v>
      </c>
      <c r="D11" s="2">
        <v>0.42</v>
      </c>
      <c r="E11" s="15">
        <v>111.9375</v>
      </c>
      <c r="F11" s="14">
        <f t="shared" si="0"/>
        <v>11.124691771951044</v>
      </c>
      <c r="G11" s="2"/>
    </row>
    <row r="12" spans="1:7" x14ac:dyDescent="0.3">
      <c r="A12" s="11" t="s">
        <v>16</v>
      </c>
      <c r="B12" s="9">
        <v>415</v>
      </c>
      <c r="C12" s="3">
        <v>53714.8</v>
      </c>
      <c r="D12" s="2">
        <v>0.45</v>
      </c>
      <c r="E12" s="15">
        <v>124.6144578313253</v>
      </c>
      <c r="F12" s="14">
        <f t="shared" si="0"/>
        <v>8.4052472250252332</v>
      </c>
      <c r="G12" s="2"/>
    </row>
    <row r="13" spans="1:7" x14ac:dyDescent="0.3">
      <c r="A13" s="11" t="s">
        <v>17</v>
      </c>
      <c r="B13" s="9">
        <v>471</v>
      </c>
      <c r="C13" s="3">
        <v>59608.77</v>
      </c>
      <c r="D13" s="2">
        <v>0.47</v>
      </c>
      <c r="E13" s="15">
        <v>126.5583864118896</v>
      </c>
      <c r="F13" s="14">
        <f t="shared" si="0"/>
        <v>10.972711431486282</v>
      </c>
      <c r="G13" s="2"/>
    </row>
    <row r="14" spans="1:7" x14ac:dyDescent="0.3">
      <c r="A14" s="5" t="s">
        <v>3</v>
      </c>
      <c r="B14" s="10">
        <f>SUM(B2:B13)</f>
        <v>3568</v>
      </c>
      <c r="C14" s="6">
        <f t="shared" ref="C14" si="1">SUM(C2:C13)</f>
        <v>426301.18</v>
      </c>
      <c r="D14" s="4"/>
      <c r="E14" s="16">
        <v>116.1533071748879</v>
      </c>
      <c r="F14" s="4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6B0A36441F0D4DAD3991578DF7F2F0" ma:contentTypeVersion="17" ma:contentTypeDescription="Crie um novo documento." ma:contentTypeScope="" ma:versionID="dc4c2907280046cd8c7fd143170375b2">
  <xsd:schema xmlns:xsd="http://www.w3.org/2001/XMLSchema" xmlns:xs="http://www.w3.org/2001/XMLSchema" xmlns:p="http://schemas.microsoft.com/office/2006/metadata/properties" xmlns:ns2="4f05b7ab-9a2f-41ed-818c-74617ab702a7" xmlns:ns3="b7f85c95-9dfd-4a18-b8b1-0a9182cc4fb7" targetNamespace="http://schemas.microsoft.com/office/2006/metadata/properties" ma:root="true" ma:fieldsID="981696c6e6c324fbb2bfe81600b5a256" ns2:_="" ns3:_="">
    <xsd:import namespace="4f05b7ab-9a2f-41ed-818c-74617ab702a7"/>
    <xsd:import namespace="b7f85c95-9dfd-4a18-b8b1-0a9182cc4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5b7ab-9a2f-41ed-818c-74617ab70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efc7ddc0-9a8c-4dc4-996d-f4d816cba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85c95-9dfd-4a18-b8b1-0a9182cc4fb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c0bbb76-aa18-45ff-9b51-618ac78a5513}" ma:internalName="TaxCatchAll" ma:showField="CatchAllData" ma:web="b7f85c95-9dfd-4a18-b8b1-0a9182cc4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05b7ab-9a2f-41ed-818c-74617ab702a7">
      <Terms xmlns="http://schemas.microsoft.com/office/infopath/2007/PartnerControls"/>
    </lcf76f155ced4ddcb4097134ff3c332f>
    <TaxCatchAll xmlns="b7f85c95-9dfd-4a18-b8b1-0a9182cc4fb7" xsi:nil="true"/>
  </documentManagement>
</p:properties>
</file>

<file path=customXml/itemProps1.xml><?xml version="1.0" encoding="utf-8"?>
<ds:datastoreItem xmlns:ds="http://schemas.openxmlformats.org/officeDocument/2006/customXml" ds:itemID="{CDE195C1-8E45-4BA0-9503-47ABEC0416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05b7ab-9a2f-41ed-818c-74617ab702a7"/>
    <ds:schemaRef ds:uri="b7f85c95-9dfd-4a18-b8b1-0a9182cc4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78BAFD-0A9D-4EDA-8BB6-29723C837B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7050B4-7FCC-4A6C-99B3-E65590956E75}">
  <ds:schemaRefs>
    <ds:schemaRef ds:uri="http://schemas.microsoft.com/office/2006/metadata/properties"/>
    <ds:schemaRef ds:uri="http://schemas.microsoft.com/office/infopath/2007/PartnerControls"/>
    <ds:schemaRef ds:uri="4f05b7ab-9a2f-41ed-818c-74617ab702a7"/>
    <ds:schemaRef ds:uri="b7f85c95-9dfd-4a18-b8b1-0a9182cc4f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Gráficos</vt:lpstr>
      </vt:variant>
      <vt:variant>
        <vt:i4>3</vt:i4>
      </vt:variant>
    </vt:vector>
  </HeadingPairs>
  <TitlesOfParts>
    <vt:vector size="4" baseType="lpstr">
      <vt:lpstr>Ventas Meteora</vt:lpstr>
      <vt:lpstr>Gráfico1</vt:lpstr>
      <vt:lpstr>Gráfico2</vt:lpstr>
      <vt:lpstr>Gráfico3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Faustino</dc:creator>
  <cp:lastModifiedBy>Samantha Faustino</cp:lastModifiedBy>
  <cp:lastPrinted>2025-03-17T12:36:58Z</cp:lastPrinted>
  <dcterms:created xsi:type="dcterms:W3CDTF">2025-03-12T12:26:33Z</dcterms:created>
  <dcterms:modified xsi:type="dcterms:W3CDTF">2025-03-27T11:44:45Z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0x010100556B0A36441F0D4DAD3991578DF7F2F0</vt:lpwstr>
  </property>
  <property fmtid="{D5CDD505-2E9C-101B-9397-08002B2CF9AE}" pid="3" name="MediaServiceImageTags">
    <vt:lpwstr/>
  </property>
</Properties>
</file>